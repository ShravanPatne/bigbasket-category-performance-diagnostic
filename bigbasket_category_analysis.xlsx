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ategory Summary" sheetId="4" state="visible" r:id="rId4"/>
  </sheets>
  <definedNames>
    <definedName name="_xlnm._FilterDatabase" localSheetId="0" hidden="1">'Monthly Data'!$A$1:$E$37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5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inlineStr">
        <is>
          <t>6</t>
        </is>
      </c>
      <c r="D2" t="inlineStr">
        <is>
          <t>735</t>
        </is>
      </c>
      <c r="E2" t="inlineStr">
        <is>
          <t>122.5</t>
        </is>
      </c>
    </row>
    <row r="3">
      <c r="A3" t="inlineStr">
        <is>
          <t>Bakery</t>
        </is>
      </c>
      <c r="B3" t="inlineStr">
        <is>
          <t>2026-02</t>
        </is>
      </c>
      <c r="C3" t="inlineStr">
        <is>
          <t>8</t>
        </is>
      </c>
      <c r="D3" t="inlineStr">
        <is>
          <t>2440</t>
        </is>
      </c>
      <c r="E3" t="inlineStr">
        <is>
          <t>305.0</t>
        </is>
      </c>
    </row>
    <row r="4">
      <c r="A4" t="inlineStr">
        <is>
          <t>Bakery</t>
        </is>
      </c>
      <c r="B4" t="inlineStr">
        <is>
          <t>2026-03</t>
        </is>
      </c>
      <c r="C4" t="inlineStr">
        <is>
          <t>11</t>
        </is>
      </c>
      <c r="D4" t="inlineStr">
        <is>
          <t>3090</t>
        </is>
      </c>
      <c r="E4" t="inlineStr">
        <is>
          <t>280.90909090909093</t>
        </is>
      </c>
    </row>
    <row r="5">
      <c r="A5" t="inlineStr">
        <is>
          <t>Bakery</t>
        </is>
      </c>
      <c r="B5" t="inlineStr">
        <is>
          <t>2026-04</t>
        </is>
      </c>
      <c r="C5" t="inlineStr">
        <is>
          <t>13</t>
        </is>
      </c>
      <c r="D5" t="inlineStr">
        <is>
          <t>3115</t>
        </is>
      </c>
      <c r="E5" t="inlineStr">
        <is>
          <t>239.6153846153846</t>
        </is>
      </c>
    </row>
    <row r="6">
      <c r="A6" t="inlineStr">
        <is>
          <t>Bakery</t>
        </is>
      </c>
      <c r="B6" t="inlineStr">
        <is>
          <t>2026-05</t>
        </is>
      </c>
      <c r="C6" t="inlineStr">
        <is>
          <t>15</t>
        </is>
      </c>
      <c r="D6" t="inlineStr">
        <is>
          <t>3695</t>
        </is>
      </c>
      <c r="E6" t="inlineStr">
        <is>
          <t>246.33333333333334</t>
        </is>
      </c>
    </row>
    <row r="7">
      <c r="A7" t="inlineStr">
        <is>
          <t>Bakery</t>
        </is>
      </c>
      <c r="B7" t="inlineStr">
        <is>
          <t>2026-06</t>
        </is>
      </c>
      <c r="C7" t="inlineStr">
        <is>
          <t>14</t>
        </is>
      </c>
      <c r="D7" t="inlineStr">
        <is>
          <t>2335</t>
        </is>
      </c>
      <c r="E7" t="inlineStr">
        <is>
          <t>166.78571428571428</t>
        </is>
      </c>
    </row>
    <row r="8">
      <c r="A8" t="inlineStr">
        <is>
          <t>Dairy &amp; Eggs</t>
        </is>
      </c>
      <c r="B8" t="inlineStr">
        <is>
          <t>2026-01</t>
        </is>
      </c>
      <c r="C8" t="inlineStr">
        <is>
          <t>9</t>
        </is>
      </c>
      <c r="D8" t="inlineStr">
        <is>
          <t>2035</t>
        </is>
      </c>
      <c r="E8" t="inlineStr">
        <is>
          <t>226.11111111111111</t>
        </is>
      </c>
    </row>
    <row r="9">
      <c r="A9" t="inlineStr">
        <is>
          <t>Dairy &amp; Eggs</t>
        </is>
      </c>
      <c r="B9" t="inlineStr">
        <is>
          <t>2026-02</t>
        </is>
      </c>
      <c r="C9" t="inlineStr">
        <is>
          <t>8</t>
        </is>
      </c>
      <c r="D9" t="inlineStr">
        <is>
          <t>1935</t>
        </is>
      </c>
      <c r="E9" t="inlineStr">
        <is>
          <t>241.875</t>
        </is>
      </c>
    </row>
    <row r="10">
      <c r="A10" t="inlineStr">
        <is>
          <t>Dairy &amp; Eggs</t>
        </is>
      </c>
      <c r="B10" t="inlineStr">
        <is>
          <t>2026-03</t>
        </is>
      </c>
      <c r="C10" t="inlineStr">
        <is>
          <t>15</t>
        </is>
      </c>
      <c r="D10" t="inlineStr">
        <is>
          <t>3163</t>
        </is>
      </c>
      <c r="E10" t="inlineStr">
        <is>
          <t>210.86666666666667</t>
        </is>
      </c>
    </row>
    <row r="11">
      <c r="A11" t="inlineStr">
        <is>
          <t>Dairy &amp; Eggs</t>
        </is>
      </c>
      <c r="B11" t="inlineStr">
        <is>
          <t>2026-04</t>
        </is>
      </c>
      <c r="C11" t="inlineStr">
        <is>
          <t>9</t>
        </is>
      </c>
      <c r="D11" t="inlineStr">
        <is>
          <t>1650</t>
        </is>
      </c>
      <c r="E11" t="inlineStr">
        <is>
          <t>183.33333333333334</t>
        </is>
      </c>
    </row>
    <row r="12">
      <c r="A12" t="inlineStr">
        <is>
          <t>Dairy &amp; Eggs</t>
        </is>
      </c>
      <c r="B12" t="inlineStr">
        <is>
          <t>2026-05</t>
        </is>
      </c>
      <c r="C12" t="inlineStr">
        <is>
          <t>14</t>
        </is>
      </c>
      <c r="D12" t="inlineStr">
        <is>
          <t>3479</t>
        </is>
      </c>
      <c r="E12" t="inlineStr">
        <is>
          <t>248.5</t>
        </is>
      </c>
    </row>
    <row r="13">
      <c r="A13" t="inlineStr">
        <is>
          <t>Dairy &amp; Eggs</t>
        </is>
      </c>
      <c r="B13" t="inlineStr">
        <is>
          <t>2026-06</t>
        </is>
      </c>
      <c r="C13" t="inlineStr">
        <is>
          <t>11</t>
        </is>
      </c>
      <c r="D13" t="inlineStr">
        <is>
          <t>1828</t>
        </is>
      </c>
      <c r="E13" t="inlineStr">
        <is>
          <t>166.1818181818182</t>
        </is>
      </c>
    </row>
    <row r="14">
      <c r="A14" t="inlineStr">
        <is>
          <t>Fruits &amp; Vegetables</t>
        </is>
      </c>
      <c r="B14" t="inlineStr">
        <is>
          <t>2026-01</t>
        </is>
      </c>
      <c r="C14" t="inlineStr">
        <is>
          <t>12</t>
        </is>
      </c>
      <c r="D14" t="inlineStr">
        <is>
          <t>1290</t>
        </is>
      </c>
      <c r="E14" t="inlineStr">
        <is>
          <t>107.5</t>
        </is>
      </c>
    </row>
    <row r="15">
      <c r="A15" t="inlineStr">
        <is>
          <t>Fruits &amp; Vegetables</t>
        </is>
      </c>
      <c r="B15" t="inlineStr">
        <is>
          <t>2026-02</t>
        </is>
      </c>
      <c r="C15" t="inlineStr">
        <is>
          <t>13</t>
        </is>
      </c>
      <c r="D15" t="inlineStr">
        <is>
          <t>2090</t>
        </is>
      </c>
      <c r="E15" t="inlineStr">
        <is>
          <t>160.76923076923077</t>
        </is>
      </c>
    </row>
    <row r="16">
      <c r="A16" t="inlineStr">
        <is>
          <t>Fruits &amp; Vegetables</t>
        </is>
      </c>
      <c r="B16" t="inlineStr">
        <is>
          <t>2026-03</t>
        </is>
      </c>
      <c r="C16" t="inlineStr">
        <is>
          <t>13</t>
        </is>
      </c>
      <c r="D16" t="inlineStr">
        <is>
          <t>2080</t>
        </is>
      </c>
      <c r="E16" t="inlineStr">
        <is>
          <t>160.0</t>
        </is>
      </c>
    </row>
    <row r="17">
      <c r="A17" t="inlineStr">
        <is>
          <t>Fruits &amp; Vegetables</t>
        </is>
      </c>
      <c r="B17" t="inlineStr">
        <is>
          <t>2026-04</t>
        </is>
      </c>
      <c r="C17" t="inlineStr">
        <is>
          <t>14</t>
        </is>
      </c>
      <c r="D17" t="inlineStr">
        <is>
          <t>1400</t>
        </is>
      </c>
      <c r="E17" t="inlineStr">
        <is>
          <t>100.0</t>
        </is>
      </c>
    </row>
    <row r="18">
      <c r="A18" t="inlineStr">
        <is>
          <t>Fruits &amp; Vegetables</t>
        </is>
      </c>
      <c r="B18" t="inlineStr">
        <is>
          <t>2026-05</t>
        </is>
      </c>
      <c r="C18" t="inlineStr">
        <is>
          <t>12</t>
        </is>
      </c>
      <c r="D18" t="inlineStr">
        <is>
          <t>1870</t>
        </is>
      </c>
      <c r="E18" t="inlineStr">
        <is>
          <t>155.83333333333334</t>
        </is>
      </c>
    </row>
    <row r="19">
      <c r="A19" t="inlineStr">
        <is>
          <t>Fruits &amp; Vegetables</t>
        </is>
      </c>
      <c r="B19" t="inlineStr">
        <is>
          <t>2026-06</t>
        </is>
      </c>
      <c r="C19" t="inlineStr">
        <is>
          <t>9</t>
        </is>
      </c>
      <c r="D19" t="inlineStr">
        <is>
          <t>1060</t>
        </is>
      </c>
      <c r="E19" t="inlineStr">
        <is>
          <t>117.77777777777777</t>
        </is>
      </c>
    </row>
    <row r="20">
      <c r="A20" t="inlineStr">
        <is>
          <t>Household Essentials</t>
        </is>
      </c>
      <c r="B20" t="inlineStr">
        <is>
          <t>2026-01</t>
        </is>
      </c>
      <c r="C20" t="inlineStr">
        <is>
          <t>10</t>
        </is>
      </c>
      <c r="D20" t="inlineStr">
        <is>
          <t>2099</t>
        </is>
      </c>
      <c r="E20" t="inlineStr">
        <is>
          <t>209.9</t>
        </is>
      </c>
    </row>
    <row r="21">
      <c r="A21" t="inlineStr">
        <is>
          <t>Household Essentials</t>
        </is>
      </c>
      <c r="B21" t="inlineStr">
        <is>
          <t>2026-02</t>
        </is>
      </c>
      <c r="C21" t="inlineStr">
        <is>
          <t>16</t>
        </is>
      </c>
      <c r="D21" t="inlineStr">
        <is>
          <t>5113</t>
        </is>
      </c>
      <c r="E21" t="inlineStr">
        <is>
          <t>319.5625</t>
        </is>
      </c>
    </row>
    <row r="22">
      <c r="A22" t="inlineStr">
        <is>
          <t>Household Essentials</t>
        </is>
      </c>
      <c r="B22" t="inlineStr">
        <is>
          <t>2026-03</t>
        </is>
      </c>
      <c r="C22" t="inlineStr">
        <is>
          <t>8</t>
        </is>
      </c>
      <c r="D22" t="inlineStr">
        <is>
          <t>1885</t>
        </is>
      </c>
      <c r="E22" t="inlineStr">
        <is>
          <t>235.625</t>
        </is>
      </c>
    </row>
    <row r="23">
      <c r="A23" t="inlineStr">
        <is>
          <t>Household Essentials</t>
        </is>
      </c>
      <c r="B23" t="inlineStr">
        <is>
          <t>2026-04</t>
        </is>
      </c>
      <c r="C23" t="inlineStr">
        <is>
          <t>17</t>
        </is>
      </c>
      <c r="D23" t="inlineStr">
        <is>
          <t>5491</t>
        </is>
      </c>
      <c r="E23" t="inlineStr">
        <is>
          <t>323.0</t>
        </is>
      </c>
    </row>
    <row r="24">
      <c r="A24" t="inlineStr">
        <is>
          <t>Household Essentials</t>
        </is>
      </c>
      <c r="B24" t="inlineStr">
        <is>
          <t>2026-05</t>
        </is>
      </c>
      <c r="C24" t="inlineStr">
        <is>
          <t>16</t>
        </is>
      </c>
      <c r="D24" t="inlineStr">
        <is>
          <t>3477</t>
        </is>
      </c>
      <c r="E24" t="inlineStr">
        <is>
          <t>217.3125</t>
        </is>
      </c>
    </row>
    <row r="25">
      <c r="A25" t="inlineStr">
        <is>
          <t>Household Essentials</t>
        </is>
      </c>
      <c r="B25" t="inlineStr">
        <is>
          <t>2026-06</t>
        </is>
      </c>
      <c r="C25" t="inlineStr">
        <is>
          <t>12</t>
        </is>
      </c>
      <c r="D25" t="inlineStr">
        <is>
          <t>3650</t>
        </is>
      </c>
      <c r="E25" t="inlineStr">
        <is>
          <t>304.1666666666667</t>
        </is>
      </c>
    </row>
    <row r="26">
      <c r="A26" t="inlineStr">
        <is>
          <t>Personal Care</t>
        </is>
      </c>
      <c r="B26" t="inlineStr">
        <is>
          <t>2026-01</t>
        </is>
      </c>
      <c r="C26" t="inlineStr">
        <is>
          <t>12</t>
        </is>
      </c>
      <c r="D26" t="inlineStr">
        <is>
          <t>3608</t>
        </is>
      </c>
      <c r="E26" t="inlineStr">
        <is>
          <t>300.6666666666667</t>
        </is>
      </c>
    </row>
    <row r="27">
      <c r="A27" t="inlineStr">
        <is>
          <t>Personal Care</t>
        </is>
      </c>
      <c r="B27" t="inlineStr">
        <is>
          <t>2026-02</t>
        </is>
      </c>
      <c r="C27" t="inlineStr">
        <is>
          <t>8</t>
        </is>
      </c>
      <c r="D27" t="inlineStr">
        <is>
          <t>2177</t>
        </is>
      </c>
      <c r="E27" t="inlineStr">
        <is>
          <t>272.125</t>
        </is>
      </c>
    </row>
    <row r="28">
      <c r="A28" t="inlineStr">
        <is>
          <t>Personal Care</t>
        </is>
      </c>
      <c r="B28" t="inlineStr">
        <is>
          <t>2026-03</t>
        </is>
      </c>
      <c r="C28" t="inlineStr">
        <is>
          <t>11</t>
        </is>
      </c>
      <c r="D28" t="inlineStr">
        <is>
          <t>2807</t>
        </is>
      </c>
      <c r="E28" t="inlineStr">
        <is>
          <t>255.1818181818182</t>
        </is>
      </c>
    </row>
    <row r="29">
      <c r="A29" t="inlineStr">
        <is>
          <t>Personal Care</t>
        </is>
      </c>
      <c r="B29" t="inlineStr">
        <is>
          <t>2026-04</t>
        </is>
      </c>
      <c r="C29" t="inlineStr">
        <is>
          <t>9</t>
        </is>
      </c>
      <c r="D29" t="inlineStr">
        <is>
          <t>1970</t>
        </is>
      </c>
      <c r="E29" t="inlineStr">
        <is>
          <t>218.88888888888889</t>
        </is>
      </c>
    </row>
    <row r="30">
      <c r="A30" t="inlineStr">
        <is>
          <t>Personal Care</t>
        </is>
      </c>
      <c r="B30" t="inlineStr">
        <is>
          <t>2026-05</t>
        </is>
      </c>
      <c r="C30" t="inlineStr">
        <is>
          <t>13</t>
        </is>
      </c>
      <c r="D30" t="inlineStr">
        <is>
          <t>3045</t>
        </is>
      </c>
      <c r="E30" t="inlineStr">
        <is>
          <t>234.23076923076923</t>
        </is>
      </c>
    </row>
    <row r="31">
      <c r="A31" t="inlineStr">
        <is>
          <t>Personal Care</t>
        </is>
      </c>
      <c r="B31" t="inlineStr">
        <is>
          <t>2026-06</t>
        </is>
      </c>
      <c r="C31" t="inlineStr">
        <is>
          <t>13</t>
        </is>
      </c>
      <c r="D31" t="inlineStr">
        <is>
          <t>2775</t>
        </is>
      </c>
      <c r="E31" t="inlineStr">
        <is>
          <t>213.46153846153845</t>
        </is>
      </c>
    </row>
    <row r="32">
      <c r="A32" t="inlineStr">
        <is>
          <t>Snacks &amp; Beverages</t>
        </is>
      </c>
      <c r="B32" t="inlineStr">
        <is>
          <t>2026-01</t>
        </is>
      </c>
      <c r="C32" t="inlineStr">
        <is>
          <t>10</t>
        </is>
      </c>
      <c r="D32" t="inlineStr">
        <is>
          <t>1290</t>
        </is>
      </c>
      <c r="E32" t="inlineStr">
        <is>
          <t>129.0</t>
        </is>
      </c>
    </row>
    <row r="33">
      <c r="A33" t="inlineStr">
        <is>
          <t>Snacks &amp; Beverages</t>
        </is>
      </c>
      <c r="B33" t="inlineStr">
        <is>
          <t>2026-02</t>
        </is>
      </c>
      <c r="C33" t="inlineStr">
        <is>
          <t>11</t>
        </is>
      </c>
      <c r="D33" t="inlineStr">
        <is>
          <t>1330</t>
        </is>
      </c>
      <c r="E33" t="inlineStr">
        <is>
          <t>120.9090909090909</t>
        </is>
      </c>
    </row>
    <row r="34">
      <c r="A34" t="inlineStr">
        <is>
          <t>Snacks &amp; Beverages</t>
        </is>
      </c>
      <c r="B34" t="inlineStr">
        <is>
          <t>2026-03</t>
        </is>
      </c>
      <c r="C34" t="inlineStr">
        <is>
          <t>15</t>
        </is>
      </c>
      <c r="D34" t="inlineStr">
        <is>
          <t>1670</t>
        </is>
      </c>
      <c r="E34" t="inlineStr">
        <is>
          <t>111.33333333333333</t>
        </is>
      </c>
    </row>
    <row r="35">
      <c r="A35" t="inlineStr">
        <is>
          <t>Snacks &amp; Beverages</t>
        </is>
      </c>
      <c r="B35" t="inlineStr">
        <is>
          <t>2026-04</t>
        </is>
      </c>
      <c r="C35" t="inlineStr">
        <is>
          <t>19</t>
        </is>
      </c>
      <c r="D35" t="inlineStr">
        <is>
          <t>2980</t>
        </is>
      </c>
      <c r="E35" t="inlineStr">
        <is>
          <t>156.8421052631579</t>
        </is>
      </c>
    </row>
    <row r="36">
      <c r="A36" t="inlineStr">
        <is>
          <t>Snacks &amp; Beverages</t>
        </is>
      </c>
      <c r="B36" t="inlineStr">
        <is>
          <t>2026-05</t>
        </is>
      </c>
      <c r="C36" t="inlineStr">
        <is>
          <t>13</t>
        </is>
      </c>
      <c r="D36" t="inlineStr">
        <is>
          <t>1665</t>
        </is>
      </c>
      <c r="E36" t="inlineStr">
        <is>
          <t>128.07692307692307</t>
        </is>
      </c>
    </row>
    <row r="37">
      <c r="A37" t="inlineStr">
        <is>
          <t>Snacks &amp; Beverages</t>
        </is>
      </c>
      <c r="B37" t="inlineStr">
        <is>
          <t>2026-06</t>
        </is>
      </c>
      <c r="C37" t="inlineStr">
        <is>
          <t>15</t>
        </is>
      </c>
      <c r="D37" t="inlineStr">
        <is>
          <t>1960</t>
        </is>
      </c>
      <c r="E37" t="inlineStr">
        <is>
          <t>130.66666666666666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2" customWidth="1" min="4" max="4"/>
    <col width="42" customWidth="1" min="5" max="5"/>
  </cols>
  <sheetData>
    <row r="1">
      <c r="A1" s="1" t="inlineStr">
        <is>
          <t>category</t>
        </is>
      </c>
      <c r="B1" s="1" t="inlineStr">
        <is>
          <t>SUM of total_revenue</t>
        </is>
      </c>
      <c r="C1" s="1" t="inlineStr">
        <is>
          <t>SUM of order_count</t>
        </is>
      </c>
      <c r="E1" t="inlineStr">
        <is>
          <t>Pivot definition</t>
        </is>
      </c>
    </row>
    <row r="2">
      <c r="A2" t="inlineStr">
        <is>
          <t>Fruits &amp; Vegetables</t>
        </is>
      </c>
      <c r="B2">
        <f>SUMIF('Monthly Data'!$A$2:$A$37,A2,'Monthly Data'!$D$2:$D$37)</f>
        <v/>
      </c>
      <c r="C2">
        <f>SUMIF('Monthly Data'!$A$2:$A$37,A2,'Monthly Data'!$C$2:$C$37)</f>
        <v/>
      </c>
      <c r="E2" t="inlineStr">
        <is>
          <t>This summary reproduces the required pivot: category in Rows, SUM(total_revenue) and SUM(order_count) in Values, using the unmodified Monthly Data import.</t>
        </is>
      </c>
    </row>
    <row r="3">
      <c r="A3" t="inlineStr">
        <is>
          <t>Dairy &amp; Eggs</t>
        </is>
      </c>
      <c r="B3">
        <f>SUMIF('Monthly Data'!$A$2:$A$37,A3,'Monthly Data'!$D$2:$D$37)</f>
        <v/>
      </c>
      <c r="C3">
        <f>SUMIF('Monthly Data'!$A$2:$A$37,A3,'Monthly Data'!$C$2:$C$37)</f>
        <v/>
      </c>
    </row>
    <row r="4">
      <c r="A4" t="inlineStr">
        <is>
          <t>Snacks &amp; Beverages</t>
        </is>
      </c>
      <c r="B4">
        <f>SUMIF('Monthly Data'!$A$2:$A$37,A4,'Monthly Data'!$D$2:$D$37)</f>
        <v/>
      </c>
      <c r="C4">
        <f>SUMIF('Monthly Data'!$A$2:$A$37,A4,'Monthly Data'!$C$2:$C$37)</f>
        <v/>
      </c>
    </row>
    <row r="5">
      <c r="A5" t="inlineStr">
        <is>
          <t>Personal Care</t>
        </is>
      </c>
      <c r="B5">
        <f>SUMIF('Monthly Data'!$A$2:$A$37,A5,'Monthly Data'!$D$2:$D$37)</f>
        <v/>
      </c>
      <c r="C5">
        <f>SUMIF('Monthly Data'!$A$2:$A$37,A5,'Monthly Data'!$C$2:$C$37)</f>
        <v/>
      </c>
    </row>
    <row r="6">
      <c r="A6" t="inlineStr">
        <is>
          <t>Household Essentials</t>
        </is>
      </c>
      <c r="B6">
        <f>SUMIF('Monthly Data'!$A$2:$A$37,A6,'Monthly Data'!$D$2:$D$37)</f>
        <v/>
      </c>
      <c r="C6">
        <f>SUMIF('Monthly Data'!$A$2:$A$37,A6,'Monthly Data'!$C$2:$C$37)</f>
        <v/>
      </c>
    </row>
    <row r="7">
      <c r="A7" t="inlineStr">
        <is>
          <t>Bakery</t>
        </is>
      </c>
      <c r="B7">
        <f>SUMIF('Monthly Data'!$A$2:$A$37,A7,'Monthly Data'!$D$2:$D$37)</f>
        <v/>
      </c>
      <c r="C7">
        <f>SUMIF('Monthly Data'!$A$2:$A$37,A7,'Monthly Data'!$C$2:$C$37)</f>
        <v/>
      </c>
    </row>
    <row r="8"/>
    <row r="9">
      <c r="A9" s="2" t="inlineStr">
        <is>
          <t>Grand Total</t>
        </is>
      </c>
      <c r="B9" s="2">
        <f>SUM(B2:B7)</f>
        <v/>
      </c>
      <c r="C9" s="2">
        <f>SUM(C2:C7)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42" customWidth="1" min="3" max="3"/>
    <col width="10" customWidth="1" min="4" max="4"/>
    <col width="21" customWidth="1" min="5" max="5"/>
    <col width="42" customWidth="1" min="6" max="6"/>
    <col width="27" customWidth="1" min="7" max="7"/>
  </cols>
  <sheetData>
    <row r="1">
      <c r="A1" s="3" t="inlineStr">
        <is>
          <t>category</t>
        </is>
      </c>
      <c r="B1" s="3" t="inlineStr">
        <is>
          <t>Pivot total revenue</t>
        </is>
      </c>
      <c r="C1" s="3" t="inlineStr">
        <is>
          <t>target_revenue_inr</t>
        </is>
      </c>
      <c r="D1" s="3" t="inlineStr">
        <is>
          <t>variance</t>
        </is>
      </c>
      <c r="E1" s="3" t="inlineStr">
        <is>
          <t>percentage_variance</t>
        </is>
      </c>
      <c r="F1" s="3" t="inlineStr">
        <is>
          <t>target_status</t>
        </is>
      </c>
      <c r="G1" s="3" t="inlineStr">
        <is>
          <t>Matches Part 1 SQL total?</t>
        </is>
      </c>
    </row>
    <row r="2">
      <c r="A2" t="inlineStr">
        <is>
          <t>Fruits &amp; Vegetables</t>
        </is>
      </c>
      <c r="B2" s="4">
        <f>'Pivot Table'!B2</f>
        <v/>
      </c>
      <c r="C2" s="4">
        <f>XLOOKUP(A2,'Category Targets'!$A$2:$A$7,'Category Targets'!$B$2:$B$7,"Not Found")</f>
        <v/>
      </c>
      <c r="D2" s="4">
        <f>C2-B2</f>
        <v/>
      </c>
      <c r="E2" s="5">
        <f>((B2-C2)/C2)*100</f>
        <v/>
      </c>
      <c r="F2">
        <f>IF(B2&gt;=C2,"Above Target",IF((C2-B2)&lt;=0.15*C2,"Below Target - Watch","Below Target - Critical"))</f>
        <v/>
      </c>
      <c r="G2">
        <f>IF(B2=9790,"Yes","No")</f>
        <v/>
      </c>
    </row>
    <row r="3">
      <c r="A3" t="inlineStr">
        <is>
          <t>Dairy &amp; Eggs</t>
        </is>
      </c>
      <c r="B3" s="4">
        <f>'Pivot Table'!B3</f>
        <v/>
      </c>
      <c r="C3" s="4">
        <f>XLOOKUP(A3,'Category Targets'!$A$2:$A$7,'Category Targets'!$B$2:$B$7,"Not Found")</f>
        <v/>
      </c>
      <c r="D3" s="4">
        <f>C3-B3</f>
        <v/>
      </c>
      <c r="E3" s="5">
        <f>((B3-C3)/C3)*100</f>
        <v/>
      </c>
      <c r="F3">
        <f>IF(B3&gt;=C3,"Above Target",IF((C3-B3)&lt;=0.15*C3,"Below Target - Watch","Below Target - Critical"))</f>
        <v/>
      </c>
      <c r="G3">
        <f>IF(B3=14090,"Yes","No")</f>
        <v/>
      </c>
    </row>
    <row r="4">
      <c r="A4" t="inlineStr">
        <is>
          <t>Snacks &amp; Beverages</t>
        </is>
      </c>
      <c r="B4" s="4">
        <f>'Pivot Table'!B4</f>
        <v/>
      </c>
      <c r="C4" s="4">
        <f>XLOOKUP(A4,'Category Targets'!$A$2:$A$7,'Category Targets'!$B$2:$B$7,"Not Found")</f>
        <v/>
      </c>
      <c r="D4" s="4">
        <f>C4-B4</f>
        <v/>
      </c>
      <c r="E4" s="5">
        <f>((B4-C4)/C4)*100</f>
        <v/>
      </c>
      <c r="F4">
        <f>IF(B4&gt;=C4,"Above Target",IF((C4-B4)&lt;=0.15*C4,"Below Target - Watch","Below Target - Critical"))</f>
        <v/>
      </c>
      <c r="G4">
        <f>IF(B4=10895,"Yes","No")</f>
        <v/>
      </c>
    </row>
    <row r="5">
      <c r="A5" t="inlineStr">
        <is>
          <t>Personal Care</t>
        </is>
      </c>
      <c r="B5" s="4">
        <f>'Pivot Table'!B5</f>
        <v/>
      </c>
      <c r="C5" s="4">
        <f>XLOOKUP(A5,'Category Targets'!$A$2:$A$7,'Category Targets'!$B$2:$B$7,"Not Found")</f>
        <v/>
      </c>
      <c r="D5" s="4">
        <f>C5-B5</f>
        <v/>
      </c>
      <c r="E5" s="5">
        <f>((B5-C5)/C5)*100</f>
        <v/>
      </c>
      <c r="F5">
        <f>IF(B5&gt;=C5,"Above Target",IF((C5-B5)&lt;=0.15*C5,"Below Target - Watch","Below Target - Critical"))</f>
        <v/>
      </c>
      <c r="G5">
        <f>IF(B5=16382,"Yes","No")</f>
        <v/>
      </c>
    </row>
    <row r="6">
      <c r="A6" t="inlineStr">
        <is>
          <t>Household Essentials</t>
        </is>
      </c>
      <c r="B6" s="4">
        <f>'Pivot Table'!B6</f>
        <v/>
      </c>
      <c r="C6" s="4">
        <f>XLOOKUP(A6,'Category Targets'!$A$2:$A$7,'Category Targets'!$B$2:$B$7,"Not Found")</f>
        <v/>
      </c>
      <c r="D6" s="4">
        <f>C6-B6</f>
        <v/>
      </c>
      <c r="E6" s="5">
        <f>((B6-C6)/C6)*100</f>
        <v/>
      </c>
      <c r="F6">
        <f>IF(B6&gt;=C6,"Above Target",IF((C6-B6)&lt;=0.15*C6,"Below Target - Watch","Below Target - Critical"))</f>
        <v/>
      </c>
      <c r="G6">
        <f>IF(B6=21715,"Yes","No")</f>
        <v/>
      </c>
    </row>
    <row r="7">
      <c r="A7" t="inlineStr">
        <is>
          <t>Bakery</t>
        </is>
      </c>
      <c r="B7" s="4">
        <f>'Pivot Table'!B7</f>
        <v/>
      </c>
      <c r="C7" s="4">
        <f>XLOOKUP(A7,'Category Targets'!$A$2:$A$7,'Category Targets'!$B$2:$B$7,"Not Found")</f>
        <v/>
      </c>
      <c r="D7" s="4">
        <f>C7-B7</f>
        <v/>
      </c>
      <c r="E7" s="5">
        <f>((B7-C7)/C7)*100</f>
        <v/>
      </c>
      <c r="F7">
        <f>IF(B7&gt;=C7,"Above Target",IF((C7-B7)&lt;=0.15*C7,"Below Target - Watch","Below Target - Critical"))</f>
        <v/>
      </c>
      <c r="G7">
        <f>IF(B7=15410,"Yes","No")</f>
        <v/>
      </c>
    </row>
  </sheetData>
  <conditionalFormatting sqref="F2:F7">
    <cfRule type="expression" priority="1" dxfId="0">
      <formula>F2="Above Target"</formula>
    </cfRule>
    <cfRule type="expression" priority="2" dxfId="1">
      <formula>F2="Below Target - Watch"</formula>
    </cfRule>
    <cfRule type="expression" priority="3" dxfId="2">
      <formula>F2="Below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2026-09-06T20:07:53Z</dcterms:created>
  <dcterms:modified xmlns:dcterms="http://purl.org/dc/terms/" xmlns:xsi="http://www.w3.org/2001/XMLSchema-instance" xsi:type="dcterms:W3CDTF">2026-09-06T20:07:53Z</dcterms:modified>
</cp:coreProperties>
</file>